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9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<sst xmlns="http://schemas.openxmlformats.org/spreadsheetml/2006/main" count="81" uniqueCount="37">
  <si>
    <t>特征</t>
  </si>
  <si>
    <t>标签</t>
  </si>
  <si>
    <t>杀虫剂量(kg/ha)（P）</t>
  </si>
  <si>
    <t>化肥量(kg/ha)（F）</t>
  </si>
  <si>
    <t>其它化学物质(kg/ha)</t>
  </si>
  <si>
    <t>物种数量减少百分比原始值（%）</t>
  </si>
  <si>
    <t>物种数量减少百分比原始值（%）取绝对值</t>
  </si>
  <si>
    <t>(所有数据点在95%置信区间内 0.95 confidential intervals)</t>
  </si>
  <si>
    <t>实际模型预测结果</t>
  </si>
  <si>
    <t>理论计算值的结果</t>
  </si>
  <si>
    <t>2000年</t>
  </si>
  <si>
    <t>2001年</t>
  </si>
  <si>
    <t>2002年</t>
  </si>
  <si>
    <t>2003年</t>
  </si>
  <si>
    <t>2004年</t>
  </si>
  <si>
    <t>2005年</t>
  </si>
  <si>
    <t>2006年</t>
  </si>
  <si>
    <t>2007年</t>
  </si>
  <si>
    <t>2008年</t>
  </si>
  <si>
    <t>2009年</t>
  </si>
  <si>
    <t>2010年</t>
  </si>
  <si>
    <t>2011年</t>
  </si>
  <si>
    <t>2012年</t>
  </si>
  <si>
    <t>2013年</t>
  </si>
  <si>
    <t>2014年</t>
  </si>
  <si>
    <t>2015年</t>
  </si>
  <si>
    <t>2016年</t>
  </si>
  <si>
    <t>2017年</t>
  </si>
  <si>
    <t>2018年</t>
  </si>
  <si>
    <t>2019年</t>
  </si>
  <si>
    <t>2020年</t>
  </si>
  <si>
    <t>2021年</t>
  </si>
  <si>
    <t>标签计算过程</t>
  </si>
  <si>
    <t>Nitrogen fertilizer(kg/ha)</t>
  </si>
  <si>
    <t>z-scores</t>
  </si>
  <si>
    <t>均值</t>
  </si>
  <si>
    <t>标准差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</si>
</sst>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  <xf numFmtId="176" fontId="0" fillId="2" borderId="0" xfId="0" applyNumberFormat="1" applyFill="1">
      <alignment vertical="center"/>
    </xf>
    <xf numFmtId="177" fontId="0" fillId="2" borderId="0" xfId="0" applyNumberFormat="1" applyFill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177" fontId="0" fillId="0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tabSelected="1" zoomScale="70" zoomScaleNormal="70" workbookViewId="0">
      <selection activeCell="M20" sqref="M20"/>
    </sheetView>
  </sheetViews>
  <sheetFormatPr defaultColWidth="9" defaultRowHeight="14"/>
  <cols>
    <col min="13" max="13" width="9.54545454545454"/>
  </cols>
  <sheetData>
    <row r="1" spans="1:8">
      <c r="A1" t="s">
        <v>0</v>
      </c>
      <c r="H1" t="s">
        <v>1</v>
      </c>
    </row>
    <row r="2" spans="2:13">
      <c r="B2" t="s">
        <v>2</v>
      </c>
      <c r="C2" t="s">
        <v>3</v>
      </c>
      <c r="D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</row>
    <row r="3" spans="1:13">
      <c r="A3" t="s">
        <v>10</v>
      </c>
      <c r="B3">
        <v>1.47</v>
      </c>
      <c r="C3">
        <v>85.92</v>
      </c>
      <c r="D3">
        <v>1.47</v>
      </c>
      <c r="H3" t="s">
        <v>10</v>
      </c>
      <c r="I3">
        <v>-12.2</v>
      </c>
      <c r="J3">
        <f>-I3</f>
        <v>12.2</v>
      </c>
      <c r="L3" s="5">
        <v>19.91</v>
      </c>
      <c r="M3">
        <f>0.243*B3+0.22*C3+0.262*D3+0.246</f>
        <v>19.89075</v>
      </c>
    </row>
    <row r="4" spans="1:13">
      <c r="A4" t="s">
        <v>11</v>
      </c>
      <c r="B4">
        <v>1.48</v>
      </c>
      <c r="C4">
        <v>87.25</v>
      </c>
      <c r="D4">
        <v>1.47</v>
      </c>
      <c r="H4" t="s">
        <v>11</v>
      </c>
      <c r="I4">
        <v>-14.3</v>
      </c>
      <c r="J4">
        <f t="shared" ref="J4:J24" si="0">-I4</f>
        <v>14.3</v>
      </c>
      <c r="L4" s="5">
        <v>20.2</v>
      </c>
      <c r="M4">
        <f t="shared" ref="M4:M24" si="1">0.243*B4+0.22*C4+0.262*D4+0.246</f>
        <v>20.18578</v>
      </c>
    </row>
    <row r="5" spans="1:13">
      <c r="A5" t="s">
        <v>12</v>
      </c>
      <c r="B5">
        <v>1.49</v>
      </c>
      <c r="C5">
        <v>90.21</v>
      </c>
      <c r="D5">
        <v>1.48</v>
      </c>
      <c r="H5" t="s">
        <v>12</v>
      </c>
      <c r="I5">
        <v>-16.52</v>
      </c>
      <c r="J5">
        <f t="shared" si="0"/>
        <v>16.52</v>
      </c>
      <c r="L5" s="5">
        <v>20.86</v>
      </c>
      <c r="M5">
        <f t="shared" si="1"/>
        <v>20.84203</v>
      </c>
    </row>
    <row r="6" spans="1:13">
      <c r="A6" t="s">
        <v>13</v>
      </c>
      <c r="B6">
        <v>1.55</v>
      </c>
      <c r="C6">
        <v>93.11</v>
      </c>
      <c r="D6">
        <v>1.56</v>
      </c>
      <c r="H6" t="s">
        <v>13</v>
      </c>
      <c r="I6">
        <v>-18.87</v>
      </c>
      <c r="J6">
        <f t="shared" si="0"/>
        <v>18.87</v>
      </c>
      <c r="L6" s="5">
        <v>21.54</v>
      </c>
      <c r="M6">
        <f t="shared" si="1"/>
        <v>21.51557</v>
      </c>
    </row>
    <row r="7" spans="1:13">
      <c r="A7" t="s">
        <v>14</v>
      </c>
      <c r="B7">
        <v>1.65</v>
      </c>
      <c r="C7">
        <v>97.82</v>
      </c>
      <c r="D7">
        <v>1.62</v>
      </c>
      <c r="H7" t="s">
        <v>14</v>
      </c>
      <c r="I7">
        <v>-20.25</v>
      </c>
      <c r="J7">
        <f t="shared" si="0"/>
        <v>20.25</v>
      </c>
      <c r="L7" s="5">
        <v>22.61</v>
      </c>
      <c r="M7">
        <f t="shared" si="1"/>
        <v>22.59179</v>
      </c>
    </row>
    <row r="8" spans="1:13">
      <c r="A8" t="s">
        <v>15</v>
      </c>
      <c r="B8">
        <v>1.66</v>
      </c>
      <c r="C8">
        <v>97.95</v>
      </c>
      <c r="D8">
        <v>1.69</v>
      </c>
      <c r="H8" t="s">
        <v>15</v>
      </c>
      <c r="I8">
        <v>-20.1</v>
      </c>
      <c r="J8">
        <f t="shared" si="0"/>
        <v>20.1</v>
      </c>
      <c r="L8" s="5">
        <v>22.67</v>
      </c>
      <c r="M8">
        <f t="shared" si="1"/>
        <v>22.64116</v>
      </c>
    </row>
    <row r="9" spans="1:13">
      <c r="A9" t="s">
        <v>16</v>
      </c>
      <c r="B9">
        <v>1.66</v>
      </c>
      <c r="C9">
        <v>100.84</v>
      </c>
      <c r="D9">
        <v>1.67</v>
      </c>
      <c r="H9" t="s">
        <v>16</v>
      </c>
      <c r="I9">
        <v>-22.3</v>
      </c>
      <c r="J9">
        <f t="shared" si="0"/>
        <v>22.3</v>
      </c>
      <c r="L9" s="5">
        <v>23.28</v>
      </c>
      <c r="M9">
        <f t="shared" si="1"/>
        <v>23.27172</v>
      </c>
    </row>
    <row r="10" spans="1:13">
      <c r="A10" t="s">
        <v>17</v>
      </c>
      <c r="B10">
        <v>1.83</v>
      </c>
      <c r="C10">
        <v>105.41</v>
      </c>
      <c r="D10">
        <v>1.86</v>
      </c>
      <c r="H10" t="s">
        <v>17</v>
      </c>
      <c r="I10">
        <v>-24</v>
      </c>
      <c r="J10">
        <f t="shared" si="0"/>
        <v>24</v>
      </c>
      <c r="L10" s="6">
        <v>24.4</v>
      </c>
      <c r="M10">
        <f t="shared" si="1"/>
        <v>24.36821</v>
      </c>
    </row>
    <row r="11" spans="1:13">
      <c r="A11" t="s">
        <v>18</v>
      </c>
      <c r="B11">
        <v>1.86</v>
      </c>
      <c r="C11">
        <v>99.87</v>
      </c>
      <c r="D11">
        <v>1.89</v>
      </c>
      <c r="H11" t="s">
        <v>18</v>
      </c>
      <c r="I11">
        <v>-23.6</v>
      </c>
      <c r="J11">
        <f t="shared" si="0"/>
        <v>23.6</v>
      </c>
      <c r="L11" s="5">
        <v>23.19</v>
      </c>
      <c r="M11">
        <f t="shared" si="1"/>
        <v>23.16456</v>
      </c>
    </row>
    <row r="12" spans="1:13">
      <c r="A12" t="s">
        <v>19</v>
      </c>
      <c r="B12">
        <v>1.79</v>
      </c>
      <c r="C12">
        <v>99.99</v>
      </c>
      <c r="D12">
        <v>1.88</v>
      </c>
      <c r="H12" t="s">
        <v>19</v>
      </c>
      <c r="I12">
        <v>-24.8</v>
      </c>
      <c r="J12">
        <f t="shared" si="0"/>
        <v>24.8</v>
      </c>
      <c r="L12" s="6">
        <v>23.2</v>
      </c>
      <c r="M12">
        <f t="shared" si="1"/>
        <v>23.17133</v>
      </c>
    </row>
    <row r="13" spans="1:13">
      <c r="A13" t="s">
        <v>20</v>
      </c>
      <c r="B13">
        <v>1.98</v>
      </c>
      <c r="C13">
        <v>109.77</v>
      </c>
      <c r="D13">
        <v>2.03</v>
      </c>
      <c r="H13" t="s">
        <v>20</v>
      </c>
      <c r="I13">
        <v>-25.1</v>
      </c>
      <c r="J13">
        <f t="shared" si="0"/>
        <v>25.1</v>
      </c>
      <c r="L13" s="5">
        <v>25.43</v>
      </c>
      <c r="M13">
        <f t="shared" si="1"/>
        <v>25.4084</v>
      </c>
    </row>
    <row r="14" spans="1:13">
      <c r="A14" t="s">
        <v>21</v>
      </c>
      <c r="B14">
        <v>1.98</v>
      </c>
      <c r="C14">
        <v>113.33</v>
      </c>
      <c r="D14">
        <v>2</v>
      </c>
      <c r="H14" t="s">
        <v>21</v>
      </c>
      <c r="I14">
        <v>-27.2</v>
      </c>
      <c r="J14">
        <f t="shared" si="0"/>
        <v>27.2</v>
      </c>
      <c r="L14" s="5">
        <v>26.21</v>
      </c>
      <c r="M14">
        <f t="shared" si="1"/>
        <v>26.18374</v>
      </c>
    </row>
    <row r="15" spans="1:13">
      <c r="A15" t="s">
        <v>22</v>
      </c>
      <c r="B15">
        <v>2.08</v>
      </c>
      <c r="C15">
        <v>112.32</v>
      </c>
      <c r="D15">
        <v>1.89</v>
      </c>
      <c r="H15" t="s">
        <v>22</v>
      </c>
      <c r="I15">
        <v>-26.1</v>
      </c>
      <c r="J15">
        <f t="shared" si="0"/>
        <v>26.1</v>
      </c>
      <c r="L15" s="5">
        <v>25.99</v>
      </c>
      <c r="M15">
        <f t="shared" si="1"/>
        <v>25.95702</v>
      </c>
    </row>
    <row r="16" spans="1:13">
      <c r="A16" t="s">
        <v>23</v>
      </c>
      <c r="B16" s="2">
        <v>2.1</v>
      </c>
      <c r="C16" s="2">
        <v>114.3</v>
      </c>
      <c r="D16">
        <v>2.15</v>
      </c>
      <c r="H16" t="s">
        <v>23</v>
      </c>
      <c r="I16">
        <v>-27.7</v>
      </c>
      <c r="J16">
        <f t="shared" si="0"/>
        <v>27.7</v>
      </c>
      <c r="L16" s="5">
        <v>26.49</v>
      </c>
      <c r="M16">
        <f t="shared" si="1"/>
        <v>26.4656</v>
      </c>
    </row>
    <row r="17" spans="1:13">
      <c r="A17" t="s">
        <v>24</v>
      </c>
      <c r="B17" s="2">
        <v>2.1</v>
      </c>
      <c r="C17" s="2">
        <v>117</v>
      </c>
      <c r="D17">
        <v>2.14</v>
      </c>
      <c r="H17" t="s">
        <v>24</v>
      </c>
      <c r="I17">
        <v>-29.2</v>
      </c>
      <c r="J17">
        <f t="shared" si="0"/>
        <v>29.2</v>
      </c>
      <c r="L17" s="5">
        <v>27.09</v>
      </c>
      <c r="M17">
        <f t="shared" si="1"/>
        <v>27.05698</v>
      </c>
    </row>
    <row r="18" spans="1:13">
      <c r="A18" t="s">
        <v>25</v>
      </c>
      <c r="B18">
        <v>2.12</v>
      </c>
      <c r="C18">
        <v>115.43</v>
      </c>
      <c r="D18">
        <v>2.16</v>
      </c>
      <c r="H18" t="s">
        <v>25</v>
      </c>
      <c r="I18">
        <v>-27.4</v>
      </c>
      <c r="J18">
        <f t="shared" si="0"/>
        <v>27.4</v>
      </c>
      <c r="L18" s="5">
        <v>26.75</v>
      </c>
      <c r="M18">
        <f t="shared" si="1"/>
        <v>26.72168</v>
      </c>
    </row>
    <row r="19" spans="1:13">
      <c r="A19" t="s">
        <v>26</v>
      </c>
      <c r="B19">
        <v>2.19</v>
      </c>
      <c r="C19">
        <v>115.93</v>
      </c>
      <c r="D19">
        <v>2.23</v>
      </c>
      <c r="H19" t="s">
        <v>26</v>
      </c>
      <c r="I19">
        <v>-28.7</v>
      </c>
      <c r="J19">
        <f t="shared" si="0"/>
        <v>28.7</v>
      </c>
      <c r="L19" s="7">
        <v>26.89</v>
      </c>
      <c r="M19">
        <f t="shared" si="1"/>
        <v>26.86703</v>
      </c>
    </row>
    <row r="20" spans="1:13">
      <c r="A20" t="s">
        <v>27</v>
      </c>
      <c r="B20">
        <v>2.14</v>
      </c>
      <c r="C20">
        <v>118.81</v>
      </c>
      <c r="D20" s="2">
        <v>2.2</v>
      </c>
      <c r="H20" t="s">
        <v>27</v>
      </c>
      <c r="I20">
        <v>-30</v>
      </c>
      <c r="J20">
        <f t="shared" si="0"/>
        <v>30</v>
      </c>
      <c r="L20" s="5">
        <v>27.51</v>
      </c>
      <c r="M20">
        <f t="shared" si="1"/>
        <v>27.48062</v>
      </c>
    </row>
    <row r="21" spans="1:13">
      <c r="A21" t="s">
        <v>28</v>
      </c>
      <c r="B21">
        <v>2.13</v>
      </c>
      <c r="C21">
        <v>117.74</v>
      </c>
      <c r="D21">
        <v>2.18</v>
      </c>
      <c r="H21" t="s">
        <v>28</v>
      </c>
      <c r="I21">
        <v>-28.9</v>
      </c>
      <c r="J21">
        <f t="shared" si="0"/>
        <v>28.9</v>
      </c>
      <c r="L21" s="5">
        <v>27.27</v>
      </c>
      <c r="M21">
        <f t="shared" si="1"/>
        <v>27.23755</v>
      </c>
    </row>
    <row r="22" spans="1:13">
      <c r="A22" t="s">
        <v>29</v>
      </c>
      <c r="B22">
        <v>2.18</v>
      </c>
      <c r="C22">
        <v>114.75</v>
      </c>
      <c r="D22">
        <v>2.25</v>
      </c>
      <c r="H22" t="s">
        <v>29</v>
      </c>
      <c r="I22">
        <v>-30.01</v>
      </c>
      <c r="J22">
        <f t="shared" si="0"/>
        <v>30.01</v>
      </c>
      <c r="L22" s="5">
        <v>26.64</v>
      </c>
      <c r="M22">
        <f t="shared" si="1"/>
        <v>26.61024</v>
      </c>
    </row>
    <row r="23" spans="1:13">
      <c r="A23" t="s">
        <v>30</v>
      </c>
      <c r="B23">
        <v>2.19</v>
      </c>
      <c r="C23">
        <v>120.95</v>
      </c>
      <c r="D23">
        <v>2.22</v>
      </c>
      <c r="H23" t="s">
        <v>30</v>
      </c>
      <c r="I23">
        <v>-32.1</v>
      </c>
      <c r="J23">
        <f t="shared" si="0"/>
        <v>32.1</v>
      </c>
      <c r="L23" s="7">
        <v>28.01</v>
      </c>
      <c r="M23">
        <f t="shared" si="1"/>
        <v>27.96881</v>
      </c>
    </row>
    <row r="24" spans="1:13">
      <c r="A24" t="s">
        <v>31</v>
      </c>
      <c r="B24">
        <v>2.26</v>
      </c>
      <c r="C24">
        <v>119.62</v>
      </c>
      <c r="D24">
        <v>2.29</v>
      </c>
      <c r="H24" t="s">
        <v>31</v>
      </c>
      <c r="I24">
        <v>-28.8</v>
      </c>
      <c r="J24">
        <f t="shared" si="0"/>
        <v>28.8</v>
      </c>
      <c r="L24" s="5">
        <v>27.75</v>
      </c>
      <c r="M24">
        <f t="shared" si="1"/>
        <v>27.71156</v>
      </c>
    </row>
    <row r="26" s="1" customFormat="1" spans="1:3">
      <c r="A26" s="1" t="s">
        <v>32</v>
      </c>
      <c r="B26" s="1" t="s">
        <v>33</v>
      </c>
      <c r="C26" s="1" t="s">
        <v>34</v>
      </c>
    </row>
    <row r="27" s="1" customFormat="1" spans="1:3">
      <c r="A27" s="1" t="s">
        <v>10</v>
      </c>
      <c r="B27" s="1">
        <v>51.26</v>
      </c>
      <c r="C27" s="1">
        <v>-1.956</v>
      </c>
    </row>
    <row r="28" s="1" customFormat="1" spans="1:3">
      <c r="A28" s="1" t="s">
        <v>11</v>
      </c>
      <c r="B28" s="1">
        <v>51.77</v>
      </c>
      <c r="C28" s="1">
        <v>-1.857</v>
      </c>
    </row>
    <row r="29" s="1" customFormat="1" spans="1:3">
      <c r="A29" s="1" t="s">
        <v>12</v>
      </c>
      <c r="B29" s="1">
        <v>53.4</v>
      </c>
      <c r="C29" s="1">
        <v>-1.54</v>
      </c>
    </row>
    <row r="30" s="1" customFormat="1" spans="1:3">
      <c r="A30" s="1" t="s">
        <v>13</v>
      </c>
      <c r="B30" s="1">
        <v>54.82</v>
      </c>
      <c r="C30" s="1">
        <v>-1.263</v>
      </c>
    </row>
    <row r="31" s="1" customFormat="1" spans="1:3">
      <c r="A31" s="1" t="s">
        <v>14</v>
      </c>
      <c r="B31" s="1">
        <v>56.2</v>
      </c>
      <c r="C31" s="1">
        <v>-0.995</v>
      </c>
    </row>
    <row r="32" s="1" customFormat="1" spans="1:3">
      <c r="A32" s="1" t="s">
        <v>15</v>
      </c>
      <c r="B32" s="1">
        <v>56.46</v>
      </c>
      <c r="C32" s="1">
        <v>-0.944</v>
      </c>
    </row>
    <row r="33" s="1" customFormat="1" spans="1:3">
      <c r="A33" s="1" t="s">
        <v>16</v>
      </c>
      <c r="B33" s="1">
        <v>58.36</v>
      </c>
      <c r="C33" s="1">
        <v>-0.574</v>
      </c>
    </row>
    <row r="34" s="1" customFormat="1" spans="1:3">
      <c r="A34" s="1" t="s">
        <v>17</v>
      </c>
      <c r="B34" s="1">
        <v>60.46</v>
      </c>
      <c r="C34" s="1">
        <v>-0.166</v>
      </c>
    </row>
    <row r="35" s="1" customFormat="1" spans="1:3">
      <c r="A35" s="1" t="s">
        <v>18</v>
      </c>
      <c r="B35" s="1">
        <v>59.55</v>
      </c>
      <c r="C35" s="1">
        <v>-0.343</v>
      </c>
    </row>
    <row r="36" s="1" customFormat="1" spans="1:3">
      <c r="A36" s="1" t="s">
        <v>19</v>
      </c>
      <c r="B36" s="3">
        <v>60.9</v>
      </c>
      <c r="C36" s="1">
        <v>-0.087</v>
      </c>
    </row>
    <row r="37" s="1" customFormat="1" spans="1:3">
      <c r="A37" s="1" t="s">
        <v>20</v>
      </c>
      <c r="B37" s="3">
        <v>63.3</v>
      </c>
      <c r="C37" s="1">
        <v>0.386</v>
      </c>
    </row>
    <row r="38" s="1" customFormat="1" spans="1:3">
      <c r="A38" s="1" t="s">
        <v>21</v>
      </c>
      <c r="B38" s="1">
        <v>65.09</v>
      </c>
      <c r="C38" s="1">
        <v>0.734</v>
      </c>
    </row>
    <row r="39" s="1" customFormat="1" spans="1:3">
      <c r="A39" s="1" t="s">
        <v>22</v>
      </c>
      <c r="B39" s="1">
        <v>64.83</v>
      </c>
      <c r="C39" s="1">
        <v>0.684</v>
      </c>
    </row>
    <row r="40" s="1" customFormat="1" spans="1:3">
      <c r="A40" s="1" t="s">
        <v>23</v>
      </c>
      <c r="B40" s="1">
        <v>65.77</v>
      </c>
      <c r="C40" s="1">
        <v>0.867</v>
      </c>
    </row>
    <row r="41" s="1" customFormat="1" spans="1:3">
      <c r="A41" s="1" t="s">
        <v>24</v>
      </c>
      <c r="B41" s="1">
        <v>66.33</v>
      </c>
      <c r="C41" s="1">
        <v>0.975</v>
      </c>
    </row>
    <row r="42" s="1" customFormat="1" spans="1:3">
      <c r="A42" s="1" t="s">
        <v>25</v>
      </c>
      <c r="B42" s="3">
        <v>65.4</v>
      </c>
      <c r="C42" s="1">
        <v>0.795</v>
      </c>
    </row>
    <row r="43" s="1" customFormat="1" spans="1:3">
      <c r="A43" s="1" t="s">
        <v>26</v>
      </c>
      <c r="B43" s="1">
        <v>66.04</v>
      </c>
      <c r="C43" s="4">
        <v>0.92</v>
      </c>
    </row>
    <row r="44" s="1" customFormat="1" spans="1:3">
      <c r="A44" s="1" t="s">
        <v>27</v>
      </c>
      <c r="B44" s="1">
        <v>66.87</v>
      </c>
      <c r="C44" s="1">
        <v>1.081</v>
      </c>
    </row>
    <row r="45" s="1" customFormat="1" spans="1:3">
      <c r="A45" s="1" t="s">
        <v>28</v>
      </c>
      <c r="B45" s="1">
        <v>66.06</v>
      </c>
      <c r="C45" s="1">
        <v>0.923</v>
      </c>
    </row>
    <row r="46" s="1" customFormat="1" spans="1:3">
      <c r="A46" s="1" t="s">
        <v>29</v>
      </c>
      <c r="B46" s="1">
        <v>63.71</v>
      </c>
      <c r="C46" s="1">
        <v>1.086</v>
      </c>
    </row>
    <row r="47" s="1" customFormat="1" spans="1:3">
      <c r="A47" s="1" t="s">
        <v>30</v>
      </c>
      <c r="B47" s="3">
        <v>66.9</v>
      </c>
      <c r="C47" s="4">
        <v>1.1</v>
      </c>
    </row>
    <row r="48" s="1" customFormat="1" spans="1:3">
      <c r="A48" s="1" t="s">
        <v>31</v>
      </c>
      <c r="B48" s="1">
        <v>65.45</v>
      </c>
      <c r="C48" s="1">
        <v>0.875</v>
      </c>
    </row>
    <row r="49" s="1" customFormat="1"/>
    <row r="50" s="1" customFormat="1" spans="1:2">
      <c r="A50" s="1" t="s">
        <v>35</v>
      </c>
      <c r="B50" s="1">
        <f>AVERAGE(B27:B48)</f>
        <v>61.315</v>
      </c>
    </row>
    <row r="51" s="1" customFormat="1" spans="1:2">
      <c r="A51" s="1" t="s">
        <v>36</v>
      </c>
      <c r="B51" s="1">
        <v>5.141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程浩桐</cp:lastModifiedBy>
  <dcterms:created xsi:type="dcterms:W3CDTF">2023-05-12T11:15:00Z</dcterms:created>
  <dcterms:modified xsi:type="dcterms:W3CDTF">2025-01-24T06:52:37Z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8B4578DA39FC443AAF04963E4139C0A2_12</vt:lpwstr>
  </property>
</Properties>
</file>