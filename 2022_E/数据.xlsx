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<sst xmlns="http://schemas.openxmlformats.org/spreadsheetml/2006/main" count="66" uniqueCount="52">
  <si>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中国数据（温带）</t>
  </si>
  <si>
    <t>该颜色是原始数据草稿</t>
  </si>
  <si>
    <t>记得通过预测来完善数据</t>
  </si>
  <si>
    <t>特征</t>
  </si>
  <si>
    <t>260000000000</t>
  </si>
  <si>
    <t>树木总储量(m^3/ha)(growing stock）</t>
  </si>
  <si>
    <t>森林植被地上生物量(tons/ha)</t>
  </si>
  <si>
    <t>地下生物量(tons/ha)</t>
  </si>
  <si>
    <t>木制残体和凋落物(tons/ha)(2d)</t>
  </si>
  <si>
    <t>土壤碳库(million tons/ha)</t>
  </si>
  <si>
    <t>森林面积(1000 ha)(3b，4a)</t>
  </si>
  <si>
    <t>地上生物量(kilo tons)(2c)</t>
  </si>
  <si>
    <t>地下生物量(kilo tons)(2c)</t>
  </si>
  <si>
    <t>木制残体和凋落物(kilo tons)(2c)</t>
  </si>
  <si>
    <t>树木总量(million m^3)（2b）</t>
  </si>
  <si>
    <t>对树木总储量临近插值法预测</t>
  </si>
  <si>
    <t>标签</t>
  </si>
  <si>
    <t>森林总碳储量(tons/ha)</t>
  </si>
  <si>
    <t>地上生物碳储量(kilo tons)(2d)</t>
  </si>
  <si>
    <t>地下生物碳储量(kilo tons)(2d)</t>
  </si>
  <si>
    <t>木制残体和凋落物(kilo tons)(2d)</t>
  </si>
  <si>
    <t>总和(kilo tons)</t>
  </si>
  <si>
    <t>巴西数据（热带）</t>
  </si>
  <si>
    <t>树木总储量((kilo m^3)/(1000ha))</t>
  </si>
  <si>
    <t>数据缺失</t>
  </si>
  <si>
    <t>森林植被地上生物量((kilo tons)/(1000ha))</t>
  </si>
  <si>
    <t>地下生物量((kilo tons)/(1000ha))</t>
  </si>
  <si>
    <t>木制残体((kilo tons)/(1000ha))</t>
  </si>
  <si>
    <t>土壤碳库((kilo tons)/(1000ha))</t>
  </si>
  <si>
    <t>森林面积(1000 ha)(3b，4a，3a)</t>
  </si>
  <si>
    <t>线性插值预测数据</t>
  </si>
  <si>
    <t>地上生物量(million tons)(2c)</t>
  </si>
  <si>
    <t>地下生物量(million tons)(2c)</t>
  </si>
  <si>
    <t>木制残体和凋落物(million tons)(2c)</t>
  </si>
  <si>
    <t>地上生物碳储量(million tons)(2d)</t>
  </si>
  <si>
    <t>地下生物碳储量(million tons)(2d)</t>
  </si>
  <si>
    <t>木制残体和凋落物(million tons)(2d)</t>
  </si>
  <si>
    <t>垃圾含碳（million tones）</t>
  </si>
  <si>
    <t>土壤碳库（(million tons)(2d)）</t>
  </si>
  <si>
    <t>总和(million tons)</t>
  </si>
  <si>
    <t>加拿大数据（寒带）</t>
  </si>
  <si>
    <t>森林植被地上生物量(tons\ha)</t>
  </si>
  <si>
    <t>地下生物量(tons\ha)(2c)</t>
  </si>
  <si>
    <t>木制残体(tons\ha)</t>
  </si>
  <si>
    <t>土壤碳库(tons\ha)</t>
  </si>
  <si>
    <t>地上生物量(tons\ha)(2c)</t>
  </si>
  <si>
    <t>木制残体和凋落物(tons\ha)(2c)</t>
  </si>
  <si>
    <t>地上生物碳储量(tons/ha)(2d)</t>
  </si>
  <si>
    <t>地下生物碳储量(tons/ha)(2d)</t>
  </si>
  <si>
    <t>垃圾含碳(tons/ha)</t>
  </si>
  <si>
    <t>土壤碳库(tons/ha)(2d)）</t>
  </si>
  <si>
    <t>总和(tons/ha)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</si>
</sst>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6.8"/>
      <color rgb="FF333333"/>
      <name val="HelveticaNeue"/>
      <charset val="134"/>
    </font>
    <font>
      <b/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0" fontId="0" fillId="7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tabSelected="1" zoomScale="85" zoomScaleNormal="85" topLeftCell="D9" workbookViewId="0">
      <selection activeCell="K21" sqref="K21"/>
    </sheetView>
  </sheetViews>
  <sheetFormatPr defaultColWidth="8.72727272727273" defaultRowHeight="14"/>
  <cols>
    <col min="2" max="10" width="12.8181818181818"/>
    <col min="11" max="11" width="10.5454545454545"/>
    <col min="13" max="16" width="10.5454545454545"/>
  </cols>
  <sheetData>
    <row r="1" spans="1:7">
      <c r="A1" s="2" t="s">
        <v>0</v>
      </c>
      <c r="C1" s="3" t="s">
        <v>1</v>
      </c>
      <c r="D1" s="3"/>
      <c r="E1" s="3"/>
      <c r="F1" s="3"/>
      <c r="G1" s="4" t="s">
        <v>2</v>
      </c>
    </row>
    <row r="3" spans="1:1">
      <c r="A3" s="5" t="s">
        <v>3</v>
      </c>
    </row>
    <row r="4" spans="2:13">
      <c r="B4">
        <v>1990</v>
      </c>
      <c r="C4">
        <v>2000</v>
      </c>
      <c r="D4">
        <v>2010</v>
      </c>
      <c r="E4">
        <v>2015</v>
      </c>
      <c r="F4">
        <v>2016</v>
      </c>
      <c r="G4">
        <v>2017</v>
      </c>
      <c r="H4">
        <v>2018</v>
      </c>
      <c r="I4">
        <v>2019</v>
      </c>
      <c r="J4">
        <v>2020</v>
      </c>
      <c r="M4" s="18" t="s">
        <v>4</v>
      </c>
    </row>
    <row r="5" spans="1:10">
      <c r="A5" t="s">
        <v>5</v>
      </c>
      <c r="B5">
        <v>66.7088</v>
      </c>
      <c r="C5">
        <v>69.7614</v>
      </c>
      <c r="D5">
        <v>74.5795</v>
      </c>
      <c r="E5">
        <v>81.6808</v>
      </c>
      <c r="F5">
        <v>82.0286</v>
      </c>
      <c r="G5">
        <v>83.6992</v>
      </c>
      <c r="H5">
        <v>84.3697</v>
      </c>
      <c r="I5">
        <v>85.7402</v>
      </c>
      <c r="J5">
        <v>87.2387</v>
      </c>
    </row>
    <row r="6" spans="1:10">
      <c r="A6" t="s">
        <v>6</v>
      </c>
      <c r="B6">
        <v>51.6417</v>
      </c>
      <c r="C6">
        <v>54.5422</v>
      </c>
      <c r="D6">
        <v>55.7199</v>
      </c>
      <c r="E6">
        <v>60.7482</v>
      </c>
      <c r="F6">
        <f>F12/F11</f>
        <v>61.7575450836904</v>
      </c>
      <c r="G6">
        <f>G12/G11</f>
        <v>62.5176501556153</v>
      </c>
      <c r="H6">
        <f>H12/H11</f>
        <v>63.2645487649931</v>
      </c>
      <c r="I6">
        <f>I12/I11</f>
        <v>63.9939887741605</v>
      </c>
      <c r="J6">
        <v>64.7155</v>
      </c>
    </row>
    <row r="7" spans="1:10">
      <c r="A7" t="s">
        <v>7</v>
      </c>
      <c r="B7">
        <v>13.4338</v>
      </c>
      <c r="C7">
        <v>14.2994</v>
      </c>
      <c r="D7">
        <v>14.3063</v>
      </c>
      <c r="E7">
        <v>15.5068</v>
      </c>
      <c r="F7">
        <f>F13/F11</f>
        <v>15.7535632493798</v>
      </c>
      <c r="G7">
        <f>G13/G11</f>
        <v>15.9280043008411</v>
      </c>
      <c r="H7">
        <f>H13/H11</f>
        <v>16.0947898020452</v>
      </c>
      <c r="I7">
        <f>I13/I11</f>
        <v>16.2632856761444</v>
      </c>
      <c r="J7">
        <v>16.4289</v>
      </c>
    </row>
    <row r="8" spans="1:10">
      <c r="A8" t="s">
        <v>8</v>
      </c>
      <c r="B8">
        <v>10.1629</v>
      </c>
      <c r="C8">
        <v>10.6553</v>
      </c>
      <c r="D8">
        <v>11.2257</v>
      </c>
      <c r="E8">
        <v>12.278</v>
      </c>
      <c r="F8">
        <f>F14/F11</f>
        <v>12.4964775700936</v>
      </c>
      <c r="G8">
        <f>G14/G11</f>
        <v>12.3868926241163</v>
      </c>
      <c r="H8">
        <f>H14/H11</f>
        <v>12.2792146334569</v>
      </c>
      <c r="I8">
        <f>I14/I11</f>
        <v>12.1733925768715</v>
      </c>
      <c r="J8">
        <v>12.0694</v>
      </c>
    </row>
    <row r="9" spans="1:20">
      <c r="A9" t="s">
        <v>9</v>
      </c>
      <c r="B9">
        <f>M4/B11/1000000</f>
        <v>1.65456932546836</v>
      </c>
      <c r="C9">
        <f>M4/C11/1000000</f>
        <v>1.46892198922546</v>
      </c>
      <c r="D9">
        <f>M4/D11/1000000</f>
        <v>1.29604460148074</v>
      </c>
      <c r="E9">
        <f>M4/E11/1000000</f>
        <v>1.23636285823317</v>
      </c>
      <c r="F9">
        <f>M4/F11/1000000</f>
        <v>1.22376051533873</v>
      </c>
      <c r="G9">
        <f>M4/G11/1000000</f>
        <v>1.21302903287015</v>
      </c>
      <c r="H9">
        <f>M4/H11/1000000</f>
        <v>1.2024842955551</v>
      </c>
      <c r="I9">
        <f>M4/I11/1000000</f>
        <v>1.19212130696294</v>
      </c>
      <c r="J9">
        <f>M4/J11/1000000</f>
        <v>1.18193540832095</v>
      </c>
      <c r="L9" s="10"/>
      <c r="M9" s="10"/>
      <c r="N9" s="10"/>
      <c r="O9" s="10"/>
      <c r="P9" s="10"/>
      <c r="Q9" s="10"/>
      <c r="R9" s="10"/>
      <c r="S9" s="10"/>
      <c r="T9" s="10"/>
    </row>
    <row r="10" s="1" customFormat="1" spans="2:10">
      <c r="B10" s="1">
        <v>1990</v>
      </c>
      <c r="C10" s="1">
        <v>2000</v>
      </c>
      <c r="D10" s="1">
        <v>2010</v>
      </c>
      <c r="E10" s="1">
        <v>2015</v>
      </c>
      <c r="F10" s="1">
        <v>2016</v>
      </c>
      <c r="G10" s="1">
        <v>2017</v>
      </c>
      <c r="H10" s="1">
        <v>2018</v>
      </c>
      <c r="I10" s="1">
        <v>2019</v>
      </c>
      <c r="J10" s="1">
        <v>2020</v>
      </c>
    </row>
    <row r="11" s="1" customFormat="1" spans="1:10">
      <c r="A11" s="1" t="s">
        <v>10</v>
      </c>
      <c r="B11" s="1">
        <v>157140.59</v>
      </c>
      <c r="C11" s="1">
        <v>177000.55</v>
      </c>
      <c r="D11" s="1">
        <v>200610.38</v>
      </c>
      <c r="E11" s="1">
        <v>210294.25</v>
      </c>
      <c r="F11" s="1">
        <v>212459.87</v>
      </c>
      <c r="G11" s="1">
        <v>214339.47</v>
      </c>
      <c r="H11" s="1">
        <v>216219.04</v>
      </c>
      <c r="I11" s="1">
        <v>218098.61</v>
      </c>
      <c r="J11" s="1">
        <v>219978.18</v>
      </c>
    </row>
    <row r="12" s="1" customFormat="1" spans="1:10">
      <c r="A12" s="1" t="s">
        <v>11</v>
      </c>
      <c r="B12" s="1">
        <v>8115000</v>
      </c>
      <c r="C12" s="1">
        <v>9654000</v>
      </c>
      <c r="D12" s="1">
        <v>11178000</v>
      </c>
      <c r="E12" s="1">
        <v>12775000</v>
      </c>
      <c r="F12" s="6">
        <v>13121000</v>
      </c>
      <c r="G12" s="1">
        <v>13400000</v>
      </c>
      <c r="H12" s="1">
        <v>13679000</v>
      </c>
      <c r="I12" s="1">
        <v>13957000</v>
      </c>
      <c r="J12" s="1">
        <v>14236000</v>
      </c>
    </row>
    <row r="13" s="1" customFormat="1" spans="1:10">
      <c r="A13" s="1" t="s">
        <v>12</v>
      </c>
      <c r="B13" s="1">
        <v>2111000</v>
      </c>
      <c r="C13" s="1">
        <v>2531000</v>
      </c>
      <c r="D13" s="1">
        <v>2870000</v>
      </c>
      <c r="E13" s="1">
        <v>3261000</v>
      </c>
      <c r="F13" s="1">
        <v>3347000</v>
      </c>
      <c r="G13" s="1">
        <v>3414000</v>
      </c>
      <c r="H13" s="1">
        <v>3480000</v>
      </c>
      <c r="I13" s="1">
        <v>3547000</v>
      </c>
      <c r="J13" s="1">
        <v>3614000</v>
      </c>
    </row>
    <row r="14" s="1" customFormat="1" spans="1:10">
      <c r="A14" s="1" t="s">
        <v>13</v>
      </c>
      <c r="B14" s="1">
        <v>1597000</v>
      </c>
      <c r="C14" s="1">
        <v>1886000</v>
      </c>
      <c r="D14" s="1">
        <v>2252000</v>
      </c>
      <c r="E14" s="1">
        <v>2582000</v>
      </c>
      <c r="F14" s="1">
        <v>2655000</v>
      </c>
      <c r="G14" s="1">
        <v>2655000</v>
      </c>
      <c r="H14" s="1">
        <v>2655000</v>
      </c>
      <c r="I14" s="1">
        <v>2655000</v>
      </c>
      <c r="J14" s="1">
        <v>2655000</v>
      </c>
    </row>
    <row r="15" spans="1:10">
      <c r="A15" t="s">
        <v>14</v>
      </c>
      <c r="B15">
        <v>10482.66</v>
      </c>
      <c r="C15">
        <v>12347.81</v>
      </c>
      <c r="D15">
        <v>14961.43</v>
      </c>
      <c r="E15">
        <v>17177</v>
      </c>
      <c r="F15" s="7" t="s">
        <v>15</v>
      </c>
      <c r="G15" s="8"/>
      <c r="H15" s="8"/>
      <c r="I15" s="8"/>
      <c r="J15">
        <v>19190.62</v>
      </c>
    </row>
    <row r="16" spans="1:1">
      <c r="A16" s="5" t="s">
        <v>16</v>
      </c>
    </row>
    <row r="17" spans="2:10">
      <c r="B17">
        <v>1990</v>
      </c>
      <c r="C17">
        <v>2000</v>
      </c>
      <c r="D17">
        <v>2010</v>
      </c>
      <c r="E17">
        <v>2015</v>
      </c>
      <c r="F17">
        <v>2016</v>
      </c>
      <c r="G17">
        <v>2017</v>
      </c>
      <c r="H17">
        <v>2018</v>
      </c>
      <c r="I17">
        <v>2019</v>
      </c>
      <c r="J17">
        <v>2020</v>
      </c>
    </row>
    <row r="18" spans="1:10">
      <c r="A18" t="s">
        <v>17</v>
      </c>
      <c r="B18">
        <f>B22/B11</f>
        <v>36.5787095492005</v>
      </c>
      <c r="C18">
        <f>C22/C11</f>
        <v>38.6495974165052</v>
      </c>
      <c r="D18">
        <f>D22/D11</f>
        <v>39.4944668366612</v>
      </c>
      <c r="E18">
        <f>E22/E11</f>
        <v>43.0396931918015</v>
      </c>
      <c r="F18">
        <f>F22/F11</f>
        <v>43.7541451945725</v>
      </c>
      <c r="G18">
        <f>G22/G11</f>
        <v>44.1542567964734</v>
      </c>
      <c r="H18">
        <f>H22/H11</f>
        <v>44.5566680899147</v>
      </c>
      <c r="I18">
        <f>I22/I11</f>
        <v>44.9475583544526</v>
      </c>
      <c r="J18">
        <f>J22/218098.61</f>
        <v>45.7178521220287</v>
      </c>
    </row>
    <row r="19" spans="1:10">
      <c r="A19" s="1" t="s">
        <v>18</v>
      </c>
      <c r="B19" s="1">
        <v>3977000</v>
      </c>
      <c r="C19" s="1">
        <v>4732000</v>
      </c>
      <c r="D19" s="1">
        <v>5478000</v>
      </c>
      <c r="E19" s="1">
        <v>6261000</v>
      </c>
      <c r="F19" s="1">
        <v>6431000</v>
      </c>
      <c r="G19" s="1">
        <v>6567000</v>
      </c>
      <c r="H19" s="1">
        <v>6704000</v>
      </c>
      <c r="I19" s="1">
        <v>6841000</v>
      </c>
      <c r="J19" s="1">
        <v>6977000</v>
      </c>
    </row>
    <row r="20" spans="1:10">
      <c r="A20" s="1" t="s">
        <v>19</v>
      </c>
      <c r="B20" s="1">
        <v>1020000</v>
      </c>
      <c r="C20" s="1">
        <v>1223000</v>
      </c>
      <c r="D20" s="1">
        <v>1387000</v>
      </c>
      <c r="E20" s="1">
        <v>1576000</v>
      </c>
      <c r="F20" s="1">
        <v>1617000</v>
      </c>
      <c r="G20" s="1">
        <v>1649000</v>
      </c>
      <c r="H20" s="1">
        <v>1682000</v>
      </c>
      <c r="I20" s="1">
        <v>1714000</v>
      </c>
      <c r="J20" s="1">
        <v>1746000</v>
      </c>
    </row>
    <row r="21" spans="1:10">
      <c r="A21" s="1" t="s">
        <v>20</v>
      </c>
      <c r="B21" s="1">
        <v>751000</v>
      </c>
      <c r="C21" s="1">
        <v>886000</v>
      </c>
      <c r="D21" s="1">
        <v>1058000</v>
      </c>
      <c r="E21" s="1">
        <v>1214000</v>
      </c>
      <c r="F21" s="1">
        <v>1248000</v>
      </c>
      <c r="G21" s="1">
        <v>1248000</v>
      </c>
      <c r="H21" s="1">
        <v>1248000</v>
      </c>
      <c r="I21" s="1">
        <v>1248000</v>
      </c>
      <c r="J21" s="1">
        <v>1248000</v>
      </c>
    </row>
    <row r="22" spans="1:10">
      <c r="A22" s="1" t="s">
        <v>21</v>
      </c>
      <c r="B22" s="1">
        <f>B19+B20+B21</f>
        <v>5748000</v>
      </c>
      <c r="C22" s="1">
        <f t="shared" ref="C22:J22" si="0">C19+C20+C21</f>
        <v>6841000</v>
      </c>
      <c r="D22" s="1">
        <f t="shared" si="0"/>
        <v>7923000</v>
      </c>
      <c r="E22" s="1">
        <f t="shared" si="0"/>
        <v>9051000</v>
      </c>
      <c r="F22" s="1">
        <f t="shared" si="0"/>
        <v>9296000</v>
      </c>
      <c r="G22" s="1">
        <f t="shared" si="0"/>
        <v>9464000</v>
      </c>
      <c r="H22" s="1">
        <f t="shared" si="0"/>
        <v>9634000</v>
      </c>
      <c r="I22" s="1">
        <f t="shared" si="0"/>
        <v>9803000</v>
      </c>
      <c r="J22" s="1">
        <f t="shared" si="0"/>
        <v>9971000</v>
      </c>
    </row>
    <row r="25" spans="1:1">
      <c r="A25" s="2" t="s">
        <v>22</v>
      </c>
    </row>
    <row r="26" spans="1:1">
      <c r="A26" s="5" t="s">
        <v>3</v>
      </c>
    </row>
    <row r="27" spans="2:10">
      <c r="B27">
        <v>1990</v>
      </c>
      <c r="C27">
        <v>2000</v>
      </c>
      <c r="D27">
        <v>2010</v>
      </c>
      <c r="E27">
        <v>2015</v>
      </c>
      <c r="F27">
        <v>2016</v>
      </c>
      <c r="G27">
        <v>2017</v>
      </c>
      <c r="H27">
        <v>2018</v>
      </c>
      <c r="I27">
        <v>2019</v>
      </c>
      <c r="J27">
        <v>2020</v>
      </c>
    </row>
    <row r="28" spans="1:10">
      <c r="A28" t="s">
        <v>23</v>
      </c>
      <c r="B28" s="9" t="s">
        <v>24</v>
      </c>
      <c r="C28" s="10"/>
      <c r="D28" s="10"/>
      <c r="E28" s="10"/>
      <c r="F28" s="10"/>
      <c r="G28" s="10"/>
      <c r="H28" s="10"/>
      <c r="I28" s="10"/>
      <c r="J28" s="10"/>
    </row>
    <row r="29" spans="1:10">
      <c r="A29" t="s">
        <v>25</v>
      </c>
      <c r="B29">
        <f>B35/B34*1000</f>
        <v>163.604172539217</v>
      </c>
      <c r="C29">
        <f t="shared" ref="C29:J29" si="1">C35/C34*1000</f>
        <v>166.299139557596</v>
      </c>
      <c r="D29">
        <f t="shared" si="1"/>
        <v>169.443550157385</v>
      </c>
      <c r="E29">
        <f t="shared" si="1"/>
        <v>171.079302253213</v>
      </c>
      <c r="F29">
        <f t="shared" si="1"/>
        <v>171.145609903323</v>
      </c>
      <c r="G29">
        <f t="shared" si="1"/>
        <v>171.131640082437</v>
      </c>
      <c r="H29">
        <f t="shared" si="1"/>
        <v>171.463617245864</v>
      </c>
      <c r="I29">
        <f t="shared" si="1"/>
        <v>171.687186029733</v>
      </c>
      <c r="J29">
        <f t="shared" si="1"/>
        <v>171.920963248329</v>
      </c>
    </row>
    <row r="30" spans="1:10">
      <c r="A30" t="s">
        <v>26</v>
      </c>
      <c r="B30">
        <f>B36/B34*1000</f>
        <v>39.0687691247041</v>
      </c>
      <c r="C30">
        <f t="shared" ref="C30:J30" si="2">C36/C34*1000</f>
        <v>39.659285276451</v>
      </c>
      <c r="D30">
        <f t="shared" si="2"/>
        <v>40.2600801789434</v>
      </c>
      <c r="E30">
        <f t="shared" si="2"/>
        <v>40.608686747447</v>
      </c>
      <c r="F30">
        <f t="shared" si="2"/>
        <v>40.6234669559902</v>
      </c>
      <c r="G30">
        <f t="shared" si="2"/>
        <v>40.6227633780533</v>
      </c>
      <c r="H30">
        <f t="shared" si="2"/>
        <v>40.6908809973493</v>
      </c>
      <c r="I30">
        <f t="shared" si="2"/>
        <v>408.153738378402</v>
      </c>
      <c r="J30">
        <f t="shared" si="2"/>
        <v>40.7860261657011</v>
      </c>
    </row>
    <row r="31" spans="1:10">
      <c r="A31" t="s">
        <v>27</v>
      </c>
      <c r="B31">
        <f>B37/B34*1000</f>
        <v>10.4194953964863</v>
      </c>
      <c r="C31">
        <f t="shared" ref="C31:J31" si="3">C37/C34*1000</f>
        <v>10.4816358023011</v>
      </c>
      <c r="D31">
        <f t="shared" si="3"/>
        <v>10.492147182253</v>
      </c>
      <c r="E31">
        <f t="shared" si="3"/>
        <v>10.4522501968704</v>
      </c>
      <c r="F31">
        <f t="shared" si="3"/>
        <v>10.4440252741984</v>
      </c>
      <c r="G31">
        <f t="shared" si="3"/>
        <v>10.4381080298181</v>
      </c>
      <c r="H31">
        <f t="shared" si="3"/>
        <v>10.4343984877815</v>
      </c>
      <c r="I31">
        <f t="shared" si="3"/>
        <v>10.4329762020255</v>
      </c>
      <c r="J31">
        <f t="shared" si="3"/>
        <v>10.4333175734506</v>
      </c>
    </row>
    <row r="32" spans="1:10">
      <c r="A32" t="s">
        <v>28</v>
      </c>
      <c r="B32" s="11">
        <f>B46/B34*1000</f>
        <v>41.8218604919698</v>
      </c>
      <c r="C32" s="11">
        <f t="shared" ref="C32:J32" si="4">C46/C34*1000</f>
        <v>41.6475681042939</v>
      </c>
      <c r="D32" s="11">
        <f t="shared" si="4"/>
        <v>41.2532177230298</v>
      </c>
      <c r="E32" s="11">
        <f t="shared" si="4"/>
        <v>41.3681658982371</v>
      </c>
      <c r="F32" s="11">
        <f t="shared" si="4"/>
        <v>41.3524415733591</v>
      </c>
      <c r="G32" s="11">
        <f t="shared" si="4"/>
        <v>41.3124932731674</v>
      </c>
      <c r="H32" s="11">
        <f t="shared" si="4"/>
        <v>41.3500062699479</v>
      </c>
      <c r="I32" s="11">
        <f t="shared" si="4"/>
        <v>41.3602120365415</v>
      </c>
      <c r="J32" s="11">
        <f t="shared" si="4"/>
        <v>41.3709003833115</v>
      </c>
    </row>
    <row r="33" s="1" customFormat="1" spans="2:10">
      <c r="B33" s="1">
        <v>1990</v>
      </c>
      <c r="C33" s="1">
        <v>2000</v>
      </c>
      <c r="D33" s="1">
        <v>2010</v>
      </c>
      <c r="E33" s="1">
        <v>2015</v>
      </c>
      <c r="F33" s="1">
        <v>2016</v>
      </c>
      <c r="G33" s="1">
        <v>2017</v>
      </c>
      <c r="H33" s="1">
        <v>2018</v>
      </c>
      <c r="I33" s="1">
        <v>2019</v>
      </c>
      <c r="J33" s="1">
        <v>2020</v>
      </c>
    </row>
    <row r="34" s="1" customFormat="1" spans="1:12">
      <c r="A34" s="1" t="s">
        <v>29</v>
      </c>
      <c r="B34" s="1">
        <v>588898</v>
      </c>
      <c r="C34" s="1">
        <v>551088.6</v>
      </c>
      <c r="D34" s="1">
        <v>511580.7</v>
      </c>
      <c r="E34" s="1">
        <v>503884.8</v>
      </c>
      <c r="F34" s="12">
        <v>502431.76</v>
      </c>
      <c r="G34" s="12">
        <v>500978.72</v>
      </c>
      <c r="H34" s="12">
        <v>499525.68</v>
      </c>
      <c r="I34" s="12">
        <v>498072.64</v>
      </c>
      <c r="J34" s="1">
        <v>496619.6</v>
      </c>
      <c r="L34" s="17" t="s">
        <v>30</v>
      </c>
    </row>
    <row r="35" s="1" customFormat="1" spans="1:10">
      <c r="A35" s="1" t="s">
        <v>31</v>
      </c>
      <c r="B35" s="1">
        <v>96346.17</v>
      </c>
      <c r="C35" s="1">
        <v>91645.56</v>
      </c>
      <c r="D35" s="1">
        <v>86684.05</v>
      </c>
      <c r="E35" s="1">
        <v>86204.26</v>
      </c>
      <c r="F35" s="6">
        <v>85988.99</v>
      </c>
      <c r="G35" s="1">
        <v>85733.31</v>
      </c>
      <c r="H35" s="1">
        <v>85650.48</v>
      </c>
      <c r="I35" s="1">
        <v>85512.69</v>
      </c>
      <c r="J35" s="1">
        <v>85379.32</v>
      </c>
    </row>
    <row r="36" s="1" customFormat="1" spans="1:10">
      <c r="A36" s="1" t="s">
        <v>32</v>
      </c>
      <c r="B36" s="1">
        <v>23007.52</v>
      </c>
      <c r="C36" s="1">
        <v>21855.78</v>
      </c>
      <c r="D36" s="1">
        <v>20596.28</v>
      </c>
      <c r="E36" s="1">
        <v>20462.1</v>
      </c>
      <c r="F36" s="1">
        <v>20410.52</v>
      </c>
      <c r="G36" s="1">
        <v>20351.14</v>
      </c>
      <c r="H36" s="1">
        <v>20326.14</v>
      </c>
      <c r="I36" s="1">
        <v>203290.21</v>
      </c>
      <c r="J36" s="1">
        <v>20255.14</v>
      </c>
    </row>
    <row r="37" s="1" customFormat="1" spans="1:10">
      <c r="A37" s="1" t="s">
        <v>33</v>
      </c>
      <c r="B37" s="1">
        <v>6136.02</v>
      </c>
      <c r="C37" s="1">
        <v>5776.31</v>
      </c>
      <c r="D37" s="1">
        <v>5367.58</v>
      </c>
      <c r="E37" s="1">
        <v>5266.73</v>
      </c>
      <c r="F37" s="1">
        <v>5247.41</v>
      </c>
      <c r="G37" s="1">
        <v>5229.27</v>
      </c>
      <c r="H37" s="1">
        <v>5212.25</v>
      </c>
      <c r="I37" s="1">
        <v>5196.38</v>
      </c>
      <c r="J37" s="1">
        <v>5181.39</v>
      </c>
    </row>
    <row r="38" s="1" customFormat="1" spans="1:10">
      <c r="A38" s="1" t="s">
        <v>14</v>
      </c>
      <c r="B38" s="13" t="s">
        <v>24</v>
      </c>
      <c r="C38" s="14"/>
      <c r="D38" s="14"/>
      <c r="E38" s="14"/>
      <c r="F38" s="14"/>
      <c r="G38" s="14"/>
      <c r="H38" s="14"/>
      <c r="I38" s="14"/>
      <c r="J38" s="14"/>
    </row>
    <row r="39" spans="1:1">
      <c r="A39" s="5" t="s">
        <v>16</v>
      </c>
    </row>
    <row r="40" spans="2:10">
      <c r="B40">
        <v>1990</v>
      </c>
      <c r="C40">
        <v>2000</v>
      </c>
      <c r="D40">
        <v>2010</v>
      </c>
      <c r="E40">
        <v>2015</v>
      </c>
      <c r="F40">
        <v>2016</v>
      </c>
      <c r="G40">
        <v>2017</v>
      </c>
      <c r="H40">
        <v>2018</v>
      </c>
      <c r="I40">
        <v>2019</v>
      </c>
      <c r="J40">
        <v>2020</v>
      </c>
    </row>
    <row r="41" spans="1:10">
      <c r="A41" t="s">
        <v>17</v>
      </c>
      <c r="B41">
        <f>B47/B34*1000</f>
        <v>148.743551514863</v>
      </c>
      <c r="C41">
        <f>C47/C34*1000</f>
        <v>150.290497752993</v>
      </c>
      <c r="D41">
        <f>D47/D34*1000</f>
        <v>151.967734513831</v>
      </c>
      <c r="E41">
        <f>E47/E34*1000</f>
        <v>153.050538535792</v>
      </c>
      <c r="F41">
        <f>F47/F34*1000</f>
        <v>153.061621741428</v>
      </c>
      <c r="G41">
        <f>G47/G34*1000</f>
        <v>152.996338846488</v>
      </c>
      <c r="H41">
        <f>H47/H34*1000</f>
        <v>153.246115394908</v>
      </c>
      <c r="I41">
        <f>I47/I34*1000</f>
        <v>153.399291316222</v>
      </c>
      <c r="J41">
        <f>J47/J34*1000</f>
        <v>153.562787292326</v>
      </c>
    </row>
    <row r="42" spans="1:10">
      <c r="A42" s="1" t="s">
        <v>34</v>
      </c>
      <c r="B42" s="1">
        <v>47431.34</v>
      </c>
      <c r="C42" s="1">
        <v>45164.16</v>
      </c>
      <c r="D42" s="1">
        <v>42777.66</v>
      </c>
      <c r="E42" s="1">
        <v>42492.51</v>
      </c>
      <c r="F42" s="1">
        <v>42380.18</v>
      </c>
      <c r="G42" s="1">
        <v>42250.63</v>
      </c>
      <c r="H42" s="1">
        <v>42204.5</v>
      </c>
      <c r="I42" s="1">
        <v>42134.49</v>
      </c>
      <c r="J42" s="1">
        <v>42068.09</v>
      </c>
    </row>
    <row r="43" spans="1:10">
      <c r="A43" s="1" t="s">
        <v>35</v>
      </c>
      <c r="B43" s="1">
        <v>11267.38</v>
      </c>
      <c r="C43" s="1">
        <v>10702.19</v>
      </c>
      <c r="D43" s="1">
        <v>10080.71</v>
      </c>
      <c r="E43" s="1">
        <v>10013.17</v>
      </c>
      <c r="F43" s="1">
        <v>9987.9</v>
      </c>
      <c r="G43" s="1">
        <v>9958.99</v>
      </c>
      <c r="H43" s="1">
        <v>9946.22</v>
      </c>
      <c r="I43" s="1">
        <v>9928.3</v>
      </c>
      <c r="J43" s="1">
        <v>9910.81</v>
      </c>
    </row>
    <row r="44" spans="1:10">
      <c r="A44" s="1" t="s">
        <v>36</v>
      </c>
      <c r="B44" s="1">
        <v>2995.21</v>
      </c>
      <c r="C44" s="1">
        <v>2819</v>
      </c>
      <c r="D44" s="1">
        <v>2618.77</v>
      </c>
      <c r="E44" s="1">
        <v>2569.36</v>
      </c>
      <c r="F44" s="1">
        <v>2559.89</v>
      </c>
      <c r="G44" s="1">
        <v>2551.01</v>
      </c>
      <c r="H44" s="1">
        <v>2542.67</v>
      </c>
      <c r="I44" s="1">
        <v>2534.9</v>
      </c>
      <c r="J44" s="1">
        <v>2527.55</v>
      </c>
    </row>
    <row r="45" s="1" customFormat="1" spans="1:10">
      <c r="A45" s="1" t="s">
        <v>37</v>
      </c>
      <c r="B45" s="1">
        <v>1272.04</v>
      </c>
      <c r="C45" s="1">
        <v>1186.53</v>
      </c>
      <c r="D45" s="1">
        <v>1162.27</v>
      </c>
      <c r="E45" s="1">
        <v>1200.01</v>
      </c>
      <c r="F45" s="1">
        <v>1198.27</v>
      </c>
      <c r="G45" s="1">
        <v>1190.6</v>
      </c>
      <c r="H45" s="1">
        <v>1201.59</v>
      </c>
      <c r="I45" s="1">
        <v>1205.91</v>
      </c>
      <c r="J45" s="1">
        <v>1210.24</v>
      </c>
    </row>
    <row r="46" s="1" customFormat="1" spans="1:10">
      <c r="A46" s="1" t="s">
        <v>38</v>
      </c>
      <c r="B46" s="1">
        <v>24628.81</v>
      </c>
      <c r="C46" s="1">
        <v>22951.5</v>
      </c>
      <c r="D46" s="1">
        <v>21104.35</v>
      </c>
      <c r="E46" s="1">
        <v>20844.79</v>
      </c>
      <c r="F46" s="1">
        <v>20776.78</v>
      </c>
      <c r="G46" s="1">
        <v>20696.68</v>
      </c>
      <c r="H46" s="1">
        <v>20655.39</v>
      </c>
      <c r="I46" s="1">
        <v>20600.39</v>
      </c>
      <c r="J46" s="1">
        <v>20545.6</v>
      </c>
    </row>
    <row r="47" spans="1:10">
      <c r="A47" s="1" t="s">
        <v>39</v>
      </c>
      <c r="B47" s="1">
        <f>B42+B43+B44+B45+B46</f>
        <v>87594.78</v>
      </c>
      <c r="C47" s="1">
        <f t="shared" ref="C47:J47" si="5">C42+C43+C44+C45+C46</f>
        <v>82823.38</v>
      </c>
      <c r="D47" s="1">
        <f t="shared" si="5"/>
        <v>77743.76</v>
      </c>
      <c r="E47" s="1">
        <f t="shared" si="5"/>
        <v>77119.84</v>
      </c>
      <c r="F47" s="1">
        <f t="shared" si="5"/>
        <v>76903.02</v>
      </c>
      <c r="G47" s="1">
        <f t="shared" si="5"/>
        <v>76647.91</v>
      </c>
      <c r="H47" s="1">
        <f t="shared" si="5"/>
        <v>76550.37</v>
      </c>
      <c r="I47" s="1">
        <f t="shared" si="5"/>
        <v>76403.99</v>
      </c>
      <c r="J47" s="1">
        <f t="shared" si="5"/>
        <v>76262.29</v>
      </c>
    </row>
    <row r="50" spans="1:1">
      <c r="A50" s="2" t="s">
        <v>40</v>
      </c>
    </row>
    <row r="51" spans="1:1">
      <c r="A51" s="5" t="s">
        <v>3</v>
      </c>
    </row>
    <row r="52" spans="2:10">
      <c r="B52">
        <v>1990</v>
      </c>
      <c r="C52">
        <v>2000</v>
      </c>
      <c r="D52">
        <v>2010</v>
      </c>
      <c r="E52">
        <v>2015</v>
      </c>
      <c r="F52">
        <v>2016</v>
      </c>
      <c r="G52">
        <v>2017</v>
      </c>
      <c r="H52">
        <v>2018</v>
      </c>
      <c r="I52">
        <v>2019</v>
      </c>
      <c r="J52">
        <v>2020</v>
      </c>
    </row>
    <row r="53" spans="1:10">
      <c r="A53" t="s">
        <v>23</v>
      </c>
      <c r="B53">
        <f>B63*1000/B59</f>
        <v>136.747291843785</v>
      </c>
      <c r="C53">
        <f t="shared" ref="C53:J53" si="6">C63*1000/C59</f>
        <v>136.055784847912</v>
      </c>
      <c r="D53">
        <f t="shared" si="6"/>
        <v>131.030261496954</v>
      </c>
      <c r="E53">
        <f t="shared" si="6"/>
        <v>130.054153988017</v>
      </c>
      <c r="F53">
        <f t="shared" si="6"/>
        <v>129.963769835264</v>
      </c>
      <c r="G53">
        <f t="shared" si="6"/>
        <v>129.977820755129</v>
      </c>
      <c r="H53">
        <f t="shared" si="6"/>
        <v>129.991878459659</v>
      </c>
      <c r="I53">
        <f t="shared" si="6"/>
        <v>130.005935458389</v>
      </c>
      <c r="J53">
        <f t="shared" si="6"/>
        <v>130.019995497626</v>
      </c>
    </row>
    <row r="54" spans="1:10">
      <c r="A54" t="s">
        <v>41</v>
      </c>
      <c r="B54" s="11">
        <v>95.09</v>
      </c>
      <c r="C54" s="11">
        <v>94.64</v>
      </c>
      <c r="D54" s="11">
        <v>91.16</v>
      </c>
      <c r="E54" s="11">
        <v>90.49</v>
      </c>
      <c r="F54" s="15">
        <v>90.43</v>
      </c>
      <c r="G54" s="11">
        <v>90.43</v>
      </c>
      <c r="H54" s="11">
        <v>90.43</v>
      </c>
      <c r="I54" s="11">
        <v>90.43</v>
      </c>
      <c r="J54" s="11">
        <v>90.43</v>
      </c>
    </row>
    <row r="55" spans="1:10">
      <c r="A55" t="s">
        <v>42</v>
      </c>
      <c r="B55" s="11">
        <v>23.47</v>
      </c>
      <c r="C55" s="11">
        <v>23.34</v>
      </c>
      <c r="D55" s="11">
        <v>22.57</v>
      </c>
      <c r="E55" s="11">
        <v>22.39</v>
      </c>
      <c r="F55" s="11">
        <v>22.37</v>
      </c>
      <c r="G55" s="11">
        <v>22.37</v>
      </c>
      <c r="H55" s="11">
        <v>22.37</v>
      </c>
      <c r="I55" s="11">
        <v>22.37</v>
      </c>
      <c r="J55" s="11">
        <v>22.37</v>
      </c>
    </row>
    <row r="56" spans="1:10">
      <c r="A56" t="s">
        <v>43</v>
      </c>
      <c r="B56" s="11">
        <v>41.35</v>
      </c>
      <c r="C56" s="11">
        <v>39.96</v>
      </c>
      <c r="D56" s="11">
        <v>40.89</v>
      </c>
      <c r="E56" s="11">
        <v>40.27</v>
      </c>
      <c r="F56" s="11">
        <v>40.09</v>
      </c>
      <c r="G56" s="11">
        <v>40.09</v>
      </c>
      <c r="H56" s="11">
        <v>40.09</v>
      </c>
      <c r="I56" s="11">
        <v>40.09</v>
      </c>
      <c r="J56" s="11">
        <v>40.09</v>
      </c>
    </row>
    <row r="57" spans="1:10">
      <c r="A57" t="s">
        <v>44</v>
      </c>
      <c r="B57" s="11">
        <v>82.21</v>
      </c>
      <c r="C57" s="11">
        <v>82.5</v>
      </c>
      <c r="D57" s="11">
        <v>85.79</v>
      </c>
      <c r="E57" s="11">
        <v>82.94</v>
      </c>
      <c r="F57" s="11">
        <v>82.96</v>
      </c>
      <c r="G57" s="11">
        <v>82.96</v>
      </c>
      <c r="H57" s="11">
        <v>82.96</v>
      </c>
      <c r="I57" s="11">
        <v>82.96</v>
      </c>
      <c r="J57" s="11">
        <v>82.96</v>
      </c>
    </row>
    <row r="58" s="1" customFormat="1" spans="2:10">
      <c r="B58" s="1">
        <v>1990</v>
      </c>
      <c r="C58" s="1">
        <v>2000</v>
      </c>
      <c r="D58" s="1">
        <v>2010</v>
      </c>
      <c r="E58" s="1">
        <v>2015</v>
      </c>
      <c r="F58" s="1">
        <v>2016</v>
      </c>
      <c r="G58" s="1">
        <v>2017</v>
      </c>
      <c r="H58" s="1">
        <v>2018</v>
      </c>
      <c r="I58" s="1">
        <v>2019</v>
      </c>
      <c r="J58" s="1">
        <v>2020</v>
      </c>
    </row>
    <row r="59" s="1" customFormat="1" spans="1:12">
      <c r="A59" s="1" t="s">
        <v>29</v>
      </c>
      <c r="B59" s="1">
        <v>348272.93</v>
      </c>
      <c r="C59" s="1">
        <v>347801.97</v>
      </c>
      <c r="D59" s="1">
        <v>347322.21</v>
      </c>
      <c r="E59" s="1">
        <v>347115.71</v>
      </c>
      <c r="F59" s="12">
        <v>347078.19</v>
      </c>
      <c r="G59" s="12">
        <v>347040.67</v>
      </c>
      <c r="H59" s="12">
        <v>347003.14</v>
      </c>
      <c r="I59" s="12">
        <v>346965.62</v>
      </c>
      <c r="J59" s="1">
        <v>346928.1</v>
      </c>
      <c r="L59" s="17" t="s">
        <v>30</v>
      </c>
    </row>
    <row r="60" s="1" customFormat="1" spans="1:10">
      <c r="A60" s="1" t="s">
        <v>45</v>
      </c>
      <c r="B60" s="1">
        <v>95.09</v>
      </c>
      <c r="C60" s="1">
        <v>94.64</v>
      </c>
      <c r="D60" s="1">
        <v>91.16</v>
      </c>
      <c r="E60" s="1">
        <v>90.49</v>
      </c>
      <c r="F60" s="6">
        <v>90.43</v>
      </c>
      <c r="G60" s="1">
        <v>90.43</v>
      </c>
      <c r="H60" s="1">
        <v>90.43</v>
      </c>
      <c r="I60" s="1">
        <v>90.43</v>
      </c>
      <c r="J60" s="1">
        <v>90.43</v>
      </c>
    </row>
    <row r="61" s="1" customFormat="1" spans="1:10">
      <c r="A61" s="1" t="s">
        <v>42</v>
      </c>
      <c r="B61" s="1">
        <v>23.47</v>
      </c>
      <c r="C61" s="1">
        <v>23.34</v>
      </c>
      <c r="D61" s="1">
        <v>22.57</v>
      </c>
      <c r="E61" s="1">
        <v>22.39</v>
      </c>
      <c r="F61" s="1">
        <v>22.37</v>
      </c>
      <c r="G61" s="1">
        <v>22.37</v>
      </c>
      <c r="H61" s="1">
        <v>22.37</v>
      </c>
      <c r="I61" s="1">
        <v>22.37</v>
      </c>
      <c r="J61" s="1">
        <v>22.37</v>
      </c>
    </row>
    <row r="62" s="1" customFormat="1" spans="1:10">
      <c r="A62" s="1" t="s">
        <v>46</v>
      </c>
      <c r="B62" s="1">
        <v>41.35</v>
      </c>
      <c r="C62" s="1">
        <v>39.96</v>
      </c>
      <c r="D62" s="1">
        <v>40.89</v>
      </c>
      <c r="E62" s="1">
        <v>40.27</v>
      </c>
      <c r="F62" s="1">
        <v>40.09</v>
      </c>
      <c r="G62" s="1">
        <v>40.09</v>
      </c>
      <c r="H62" s="1">
        <v>40.09</v>
      </c>
      <c r="I62" s="1">
        <v>40.09</v>
      </c>
      <c r="J62" s="1">
        <v>40.09</v>
      </c>
    </row>
    <row r="63" s="1" customFormat="1" spans="1:10">
      <c r="A63" s="1" t="s">
        <v>14</v>
      </c>
      <c r="B63" s="16">
        <v>47625.38</v>
      </c>
      <c r="C63" s="16">
        <v>47320.47</v>
      </c>
      <c r="D63" s="16">
        <v>45509.72</v>
      </c>
      <c r="E63" s="16">
        <v>45143.84</v>
      </c>
      <c r="F63" s="16">
        <v>45107.59</v>
      </c>
      <c r="G63" s="16">
        <v>45107.59</v>
      </c>
      <c r="H63" s="16">
        <v>45107.59</v>
      </c>
      <c r="I63" s="16">
        <v>45107.59</v>
      </c>
      <c r="J63" s="16">
        <v>45107.59</v>
      </c>
    </row>
    <row r="64" spans="1:1">
      <c r="A64" s="5" t="s">
        <v>16</v>
      </c>
    </row>
    <row r="65" spans="2:10">
      <c r="B65">
        <v>1990</v>
      </c>
      <c r="C65">
        <v>2000</v>
      </c>
      <c r="D65">
        <v>2010</v>
      </c>
      <c r="E65">
        <v>2015</v>
      </c>
      <c r="F65">
        <v>2016</v>
      </c>
      <c r="G65">
        <v>2017</v>
      </c>
      <c r="H65">
        <v>2018</v>
      </c>
      <c r="I65">
        <v>2019</v>
      </c>
      <c r="J65">
        <v>2020</v>
      </c>
    </row>
    <row r="66" spans="1:10">
      <c r="A66" t="s">
        <v>17</v>
      </c>
      <c r="B66">
        <f>B67+B68+B69+B70+B71</f>
        <v>210.01</v>
      </c>
      <c r="C66">
        <f t="shared" ref="C66:J66" si="7">C67+C68+C69+C70+C71</f>
        <v>209.84</v>
      </c>
      <c r="D66">
        <f t="shared" si="7"/>
        <v>211.82</v>
      </c>
      <c r="E66">
        <f t="shared" si="7"/>
        <v>208.01</v>
      </c>
      <c r="F66">
        <f t="shared" si="7"/>
        <v>207.88</v>
      </c>
      <c r="G66">
        <f t="shared" si="7"/>
        <v>207.88</v>
      </c>
      <c r="H66">
        <f t="shared" si="7"/>
        <v>207.88</v>
      </c>
      <c r="I66">
        <f t="shared" si="7"/>
        <v>207.88</v>
      </c>
      <c r="J66">
        <f t="shared" si="7"/>
        <v>207.88</v>
      </c>
    </row>
    <row r="67" spans="1:11">
      <c r="A67" s="1" t="s">
        <v>47</v>
      </c>
      <c r="B67" s="1">
        <v>47.54</v>
      </c>
      <c r="C67" s="1">
        <v>47.32</v>
      </c>
      <c r="D67" s="1">
        <v>45.58</v>
      </c>
      <c r="E67" s="1">
        <v>45.25</v>
      </c>
      <c r="F67" s="1">
        <v>45.22</v>
      </c>
      <c r="G67" s="1">
        <v>45.22</v>
      </c>
      <c r="H67" s="1">
        <v>45.22</v>
      </c>
      <c r="I67" s="1">
        <v>45.22</v>
      </c>
      <c r="J67" s="1">
        <v>45.22</v>
      </c>
      <c r="K67" s="1"/>
    </row>
    <row r="68" spans="1:11">
      <c r="A68" s="1" t="s">
        <v>48</v>
      </c>
      <c r="B68" s="1">
        <v>11.73</v>
      </c>
      <c r="C68" s="1">
        <v>11.64</v>
      </c>
      <c r="D68" s="1">
        <v>11.28</v>
      </c>
      <c r="E68" s="1">
        <v>11.19</v>
      </c>
      <c r="F68" s="1">
        <v>11.19</v>
      </c>
      <c r="G68" s="1">
        <v>11.19</v>
      </c>
      <c r="H68" s="1">
        <v>11.19</v>
      </c>
      <c r="I68" s="1">
        <v>11.19</v>
      </c>
      <c r="J68" s="1">
        <v>11.19</v>
      </c>
      <c r="K68" s="1"/>
    </row>
    <row r="69" spans="1:11">
      <c r="A69" s="1" t="s">
        <v>8</v>
      </c>
      <c r="B69" s="1">
        <v>20.68</v>
      </c>
      <c r="C69" s="1">
        <v>19.98</v>
      </c>
      <c r="D69" s="1">
        <v>20.44</v>
      </c>
      <c r="E69" s="1">
        <v>20.13</v>
      </c>
      <c r="F69" s="1">
        <v>20.04</v>
      </c>
      <c r="G69" s="1">
        <v>20.04</v>
      </c>
      <c r="H69" s="1">
        <v>20.04</v>
      </c>
      <c r="I69" s="1">
        <v>20.04</v>
      </c>
      <c r="J69" s="1">
        <v>20.04</v>
      </c>
      <c r="K69" s="1"/>
    </row>
    <row r="70" s="1" customFormat="1" spans="1:10">
      <c r="A70" s="1" t="s">
        <v>49</v>
      </c>
      <c r="B70" s="1">
        <v>47.85</v>
      </c>
      <c r="C70" s="1">
        <v>48.4</v>
      </c>
      <c r="D70" s="1">
        <v>48.73</v>
      </c>
      <c r="E70" s="1">
        <v>48.5</v>
      </c>
      <c r="F70" s="1">
        <v>48.47</v>
      </c>
      <c r="G70" s="1">
        <v>48.47</v>
      </c>
      <c r="H70" s="1">
        <v>48.47</v>
      </c>
      <c r="I70" s="1">
        <v>48.47</v>
      </c>
      <c r="J70" s="1">
        <v>48.47</v>
      </c>
    </row>
    <row r="71" s="1" customFormat="1" spans="1:10">
      <c r="A71" s="1" t="s">
        <v>50</v>
      </c>
      <c r="B71" s="1">
        <v>82.21</v>
      </c>
      <c r="C71" s="1">
        <v>82.5</v>
      </c>
      <c r="D71" s="1">
        <v>85.79</v>
      </c>
      <c r="E71" s="1">
        <v>82.94</v>
      </c>
      <c r="F71" s="1">
        <v>82.96</v>
      </c>
      <c r="G71" s="1">
        <v>82.96</v>
      </c>
      <c r="H71" s="1">
        <v>82.96</v>
      </c>
      <c r="I71" s="1">
        <v>82.96</v>
      </c>
      <c r="J71" s="1">
        <v>82.96</v>
      </c>
    </row>
    <row r="72" spans="1:10">
      <c r="A72" s="1" t="s">
        <v>51</v>
      </c>
      <c r="B72" s="1">
        <f>B67+B68+B69+B70+B71</f>
        <v>210.01</v>
      </c>
      <c r="C72" s="1">
        <f t="shared" ref="C72:J72" si="8">C67+C68+C69+C70+C71</f>
        <v>209.84</v>
      </c>
      <c r="D72" s="1">
        <f t="shared" si="8"/>
        <v>211.82</v>
      </c>
      <c r="E72" s="1">
        <f t="shared" si="8"/>
        <v>208.01</v>
      </c>
      <c r="F72" s="1">
        <f t="shared" si="8"/>
        <v>207.88</v>
      </c>
      <c r="G72" s="1">
        <f t="shared" si="8"/>
        <v>207.88</v>
      </c>
      <c r="H72" s="1">
        <f t="shared" si="8"/>
        <v>207.88</v>
      </c>
      <c r="I72" s="1">
        <f t="shared" si="8"/>
        <v>207.88</v>
      </c>
      <c r="J72" s="1">
        <f t="shared" si="8"/>
        <v>207.88</v>
      </c>
    </row>
  </sheetData>
  <mergeCells count="5">
    <mergeCell ref="C1:F1"/>
    <mergeCell ref="L9:T9"/>
    <mergeCell ref="F15:I15"/>
    <mergeCell ref="B28:J28"/>
    <mergeCell ref="B38:J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程浩桐</cp:lastModifiedBy>
  <dcterms:created xsi:type="dcterms:W3CDTF">2025-01-16T01:01:18Z</dcterms:created>
  <dcterms:modified xsi:type="dcterms:W3CDTF">2025-01-16T07:07:19Z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3A7588C10E1B4E518E97945CB873D88B_11</vt:lpwstr>
  </property>
  <property fmtid="{D5CDD505-2E9C-101B-9397-08002B2CF9AE}" pid="3" name="KSOProductBuildVer">
    <vt:lpwstr>2052-12.1.0.19302</vt:lpwstr>
  </property>
</Properties>
</file>